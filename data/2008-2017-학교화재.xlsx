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2023-2\2023-이통2\hw-22\hw2\"/>
    </mc:Choice>
  </mc:AlternateContent>
  <bookViews>
    <workbookView xWindow="0" yWindow="0" windowWidth="17850" windowHeight="8925"/>
  </bookViews>
  <sheets>
    <sheet name="2008-2017-학교화재-피해액별통계" sheetId="1" r:id="rId1"/>
  </sheets>
  <calcPr calcId="162913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1" l="1"/>
  <c r="O13" i="1" l="1"/>
  <c r="O6" i="1"/>
  <c r="O7" i="1"/>
  <c r="O8" i="1"/>
  <c r="O9" i="1"/>
  <c r="O10" i="1"/>
  <c r="O11" i="1"/>
  <c r="O5" i="1"/>
  <c r="N6" i="1" l="1"/>
  <c r="N7" i="1"/>
  <c r="N8" i="1"/>
  <c r="N9" i="1"/>
  <c r="N10" i="1"/>
  <c r="N5" i="1"/>
</calcChain>
</file>

<file path=xl/sharedStrings.xml><?xml version="1.0" encoding="utf-8"?>
<sst xmlns="http://schemas.openxmlformats.org/spreadsheetml/2006/main" count="15" uniqueCount="15">
  <si>
    <t>*</t>
    <phoneticPr fontId="1" type="noConversion"/>
  </si>
  <si>
    <t>total</t>
    <phoneticPr fontId="1" type="noConversion"/>
  </si>
  <si>
    <t>lnx</t>
    <phoneticPr fontId="1" type="noConversion"/>
  </si>
  <si>
    <t>rank</t>
    <phoneticPr fontId="1" type="noConversion"/>
  </si>
  <si>
    <t>p</t>
    <phoneticPr fontId="1" type="noConversion"/>
  </si>
  <si>
    <t>logit</t>
    <phoneticPr fontId="1" type="noConversion"/>
  </si>
  <si>
    <t>probit</t>
    <phoneticPr fontId="1" type="noConversion"/>
  </si>
  <si>
    <t>gumbit</t>
    <phoneticPr fontId="1" type="noConversion"/>
  </si>
  <si>
    <t>Total Damage</t>
    <phoneticPr fontId="1" type="noConversion"/>
  </si>
  <si>
    <t>Total Freq.</t>
    <phoneticPr fontId="1" type="noConversion"/>
  </si>
  <si>
    <t>10억이상</t>
    <phoneticPr fontId="1" type="noConversion"/>
  </si>
  <si>
    <t>피해액 x  만원</t>
    <phoneticPr fontId="1" type="noConversion"/>
  </si>
  <si>
    <t xml:space="preserve">Data </t>
    <phoneticPr fontId="1" type="noConversion"/>
  </si>
  <si>
    <t>freq.</t>
    <phoneticPr fontId="1" type="noConversion"/>
  </si>
  <si>
    <t>N 학교수 2015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</si>
</sst>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0_ "/>
    <numFmt numFmtId="177" formatCode="0.0_ "/>
    <numFmt numFmtId="178" formatCode="0.00_ "/>
    <numFmt numFmtId="179" formatCode="0.000_ "/>
    <numFmt numFmtId="180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2" fillId="2" borderId="0" xfId="0" applyFont="1" applyFill="1">
      <alignment vertical="center"/>
    </xf>
    <xf numFmtId="178" fontId="0" fillId="4" borderId="0" xfId="0" applyNumberFormat="1" applyFill="1">
      <alignment vertical="center"/>
    </xf>
    <xf numFmtId="178" fontId="0" fillId="0" borderId="0" xfId="0" applyNumberForma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right" vertical="center"/>
    </xf>
    <xf numFmtId="179" fontId="2" fillId="2" borderId="0" xfId="0" applyNumberFormat="1" applyFont="1" applyFill="1">
      <alignment vertical="center"/>
    </xf>
    <xf numFmtId="17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>
      <alignment vertical="center"/>
    </xf>
    <xf numFmtId="10" fontId="2" fillId="0" borderId="0" xfId="0" applyNumberFormat="1" applyFont="1" applyFill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9"/>
  <sheetViews>
    <sheetView tabSelected="1" workbookViewId="0">
      <selection activeCell="S19" sqref="S19"/>
    </sheetView>
  </sheetViews>
  <sheetFormatPr defaultRowHeight="16.5" x14ac:dyDescent="0.3"/>
  <cols>
    <col min="2" max="2" width="14.5" bestFit="1" customWidth="1"/>
    <col min="3" max="3" width="9.625" bestFit="1" customWidth="1"/>
    <col min="4" max="6" width="8.5" bestFit="1" customWidth="1"/>
    <col min="7" max="7" width="15.125" bestFit="1" customWidth="1"/>
    <col min="8" max="8" width="8.5" bestFit="1" customWidth="1"/>
    <col min="9" max="9" width="9.625" bestFit="1" customWidth="1"/>
    <col min="10" max="10" width="8.5" bestFit="1" customWidth="1"/>
    <col min="11" max="11" width="9.625" bestFit="1" customWidth="1"/>
    <col min="12" max="12" width="8.375" customWidth="1"/>
    <col min="14" max="14" width="8.5" bestFit="1" customWidth="1"/>
    <col min="15" max="15" width="10.5" bestFit="1" customWidth="1"/>
    <col min="16" max="16" width="5.625" bestFit="1" customWidth="1"/>
    <col min="17" max="17" width="5.5" bestFit="1" customWidth="1"/>
    <col min="18" max="18" width="7.5" bestFit="1" customWidth="1"/>
    <col min="19" max="19" width="7.25" bestFit="1" customWidth="1"/>
    <col min="20" max="20" width="8.125" bestFit="1" customWidth="1"/>
  </cols>
  <sheetData>
    <row r="2" spans="2:20" x14ac:dyDescent="0.3">
      <c r="D2" s="15" t="s">
        <v>12</v>
      </c>
    </row>
    <row r="4" spans="2:20" x14ac:dyDescent="0.3">
      <c r="B4" s="2" t="s">
        <v>11</v>
      </c>
      <c r="C4" s="2">
        <v>2008</v>
      </c>
      <c r="D4" s="2">
        <v>2009</v>
      </c>
      <c r="E4" s="2">
        <v>2010</v>
      </c>
      <c r="F4" s="2">
        <v>2011</v>
      </c>
      <c r="G4" s="1">
        <v>2012</v>
      </c>
      <c r="H4" s="1">
        <v>2013</v>
      </c>
      <c r="I4" s="1">
        <v>2014</v>
      </c>
      <c r="J4" s="1">
        <v>2015</v>
      </c>
      <c r="K4" s="1">
        <v>2016</v>
      </c>
      <c r="L4" s="1">
        <v>2017</v>
      </c>
      <c r="M4" s="4"/>
      <c r="N4" s="2" t="s">
        <v>2</v>
      </c>
      <c r="O4" s="2" t="s">
        <v>13</v>
      </c>
      <c r="P4" s="2" t="s">
        <v>3</v>
      </c>
      <c r="Q4" s="2" t="s">
        <v>4</v>
      </c>
      <c r="R4" s="2" t="s">
        <v>6</v>
      </c>
      <c r="S4" s="2" t="s">
        <v>5</v>
      </c>
      <c r="T4" s="2" t="s">
        <v>7</v>
      </c>
    </row>
    <row r="5" spans="2:20" x14ac:dyDescent="0.3">
      <c r="B5" s="1">
        <v>50</v>
      </c>
      <c r="C5" s="11">
        <v>197</v>
      </c>
      <c r="D5" s="11">
        <v>162</v>
      </c>
      <c r="E5" s="11">
        <v>153</v>
      </c>
      <c r="F5" s="11">
        <v>114</v>
      </c>
      <c r="G5" s="11">
        <v>101</v>
      </c>
      <c r="H5" s="11">
        <v>90</v>
      </c>
      <c r="I5" s="11">
        <v>91</v>
      </c>
      <c r="J5" s="11">
        <v>74</v>
      </c>
      <c r="K5" s="11">
        <v>96</v>
      </c>
      <c r="L5" s="11">
        <v>77</v>
      </c>
      <c r="M5" s="4"/>
      <c r="N5" s="13">
        <f t="shared" ref="N5:N10" si="0">LN(B5)</f>
        <v>3.912023005428146</v>
      </c>
      <c r="O5" s="3">
        <f>SUM(H5:L5)</f>
        <v>428</v>
      </c>
      <c r="P5" s="3"/>
      <c r="Q5" s="7"/>
      <c r="R5" s="14"/>
      <c r="S5" s="14"/>
      <c r="T5" s="14"/>
    </row>
    <row r="6" spans="2:20" x14ac:dyDescent="0.3">
      <c r="B6" s="1">
        <v>100</v>
      </c>
      <c r="C6" s="11">
        <v>31</v>
      </c>
      <c r="D6" s="11">
        <v>23</v>
      </c>
      <c r="E6" s="11">
        <v>26</v>
      </c>
      <c r="F6" s="11">
        <v>28</v>
      </c>
      <c r="G6" s="11">
        <v>37</v>
      </c>
      <c r="H6" s="11">
        <v>24</v>
      </c>
      <c r="I6" s="11">
        <v>25</v>
      </c>
      <c r="J6" s="11">
        <v>30</v>
      </c>
      <c r="K6" s="11">
        <v>20</v>
      </c>
      <c r="L6" s="11">
        <v>23</v>
      </c>
      <c r="M6" s="4"/>
      <c r="N6" s="13">
        <f t="shared" si="0"/>
        <v>4.6051701859880918</v>
      </c>
      <c r="O6" s="3">
        <f t="shared" ref="O6:O11" si="1">SUM(H6:L6)</f>
        <v>122</v>
      </c>
      <c r="P6" s="3"/>
      <c r="Q6" s="7"/>
      <c r="R6" s="14"/>
      <c r="S6" s="14"/>
      <c r="T6" s="14"/>
    </row>
    <row r="7" spans="2:20" x14ac:dyDescent="0.3">
      <c r="B7" s="1">
        <v>1000</v>
      </c>
      <c r="C7" s="11">
        <v>89</v>
      </c>
      <c r="D7" s="11">
        <v>87</v>
      </c>
      <c r="E7" s="11">
        <v>93</v>
      </c>
      <c r="F7" s="11">
        <v>60</v>
      </c>
      <c r="G7" s="11">
        <v>69</v>
      </c>
      <c r="H7" s="11">
        <v>69</v>
      </c>
      <c r="I7" s="11">
        <v>69</v>
      </c>
      <c r="J7" s="11">
        <v>59</v>
      </c>
      <c r="K7" s="11">
        <v>59</v>
      </c>
      <c r="L7" s="11">
        <v>69</v>
      </c>
      <c r="M7" s="4"/>
      <c r="N7" s="13">
        <f t="shared" si="0"/>
        <v>6.9077552789821368</v>
      </c>
      <c r="O7" s="3">
        <f t="shared" si="1"/>
        <v>325</v>
      </c>
      <c r="P7" s="3"/>
      <c r="Q7" s="7"/>
      <c r="R7" s="14"/>
      <c r="S7" s="14"/>
      <c r="T7" s="14"/>
    </row>
    <row r="8" spans="2:20" x14ac:dyDescent="0.3">
      <c r="B8" s="1">
        <v>5000</v>
      </c>
      <c r="C8" s="11">
        <v>25</v>
      </c>
      <c r="D8" s="11">
        <v>12</v>
      </c>
      <c r="E8" s="11">
        <v>11</v>
      </c>
      <c r="F8" s="11">
        <v>14</v>
      </c>
      <c r="G8" s="11">
        <v>14</v>
      </c>
      <c r="H8" s="11">
        <v>15</v>
      </c>
      <c r="I8" s="11">
        <v>14</v>
      </c>
      <c r="J8" s="11">
        <v>16</v>
      </c>
      <c r="K8" s="11">
        <v>22</v>
      </c>
      <c r="L8" s="11">
        <v>20</v>
      </c>
      <c r="M8" s="4"/>
      <c r="N8" s="13">
        <f t="shared" si="0"/>
        <v>8.5171931914162382</v>
      </c>
      <c r="O8" s="3">
        <f t="shared" si="1"/>
        <v>87</v>
      </c>
      <c r="P8" s="3"/>
      <c r="Q8" s="7"/>
      <c r="R8" s="14"/>
      <c r="S8" s="14"/>
      <c r="T8" s="14"/>
    </row>
    <row r="9" spans="2:20" x14ac:dyDescent="0.3">
      <c r="B9" s="1">
        <v>10000</v>
      </c>
      <c r="C9" s="11">
        <v>3</v>
      </c>
      <c r="D9" s="11">
        <v>4</v>
      </c>
      <c r="E9" s="11">
        <v>3</v>
      </c>
      <c r="F9" s="11">
        <v>3</v>
      </c>
      <c r="G9" s="11">
        <v>5</v>
      </c>
      <c r="H9" s="11">
        <v>2</v>
      </c>
      <c r="I9" s="11">
        <v>2</v>
      </c>
      <c r="J9" s="11">
        <v>0</v>
      </c>
      <c r="K9" s="11">
        <v>5</v>
      </c>
      <c r="L9" s="11">
        <v>4</v>
      </c>
      <c r="M9" s="4"/>
      <c r="N9" s="13">
        <f t="shared" si="0"/>
        <v>9.2103403719761836</v>
      </c>
      <c r="O9" s="3">
        <f t="shared" si="1"/>
        <v>13</v>
      </c>
      <c r="P9" s="3"/>
      <c r="Q9" s="7"/>
      <c r="R9" s="14"/>
      <c r="S9" s="14"/>
      <c r="T9" s="14"/>
    </row>
    <row r="10" spans="2:20" x14ac:dyDescent="0.3">
      <c r="B10" s="1">
        <v>100000</v>
      </c>
      <c r="C10" s="11">
        <v>3</v>
      </c>
      <c r="D10" s="11">
        <v>0</v>
      </c>
      <c r="E10" s="16">
        <v>1</v>
      </c>
      <c r="F10" s="11">
        <v>0</v>
      </c>
      <c r="G10" s="11">
        <v>2</v>
      </c>
      <c r="H10" s="11">
        <v>3</v>
      </c>
      <c r="I10" s="11">
        <v>2</v>
      </c>
      <c r="J10" s="11">
        <v>0</v>
      </c>
      <c r="K10" s="11">
        <v>0</v>
      </c>
      <c r="L10" s="11">
        <v>4</v>
      </c>
      <c r="M10" s="4"/>
      <c r="N10" s="13">
        <f t="shared" si="0"/>
        <v>11.512925464970229</v>
      </c>
      <c r="O10" s="3">
        <f t="shared" si="1"/>
        <v>9</v>
      </c>
      <c r="P10" s="3"/>
      <c r="Q10" s="7"/>
      <c r="R10" s="14"/>
      <c r="S10" s="14"/>
      <c r="T10" s="14"/>
    </row>
    <row r="11" spans="2:20" x14ac:dyDescent="0.3">
      <c r="B11" s="9" t="s">
        <v>10</v>
      </c>
      <c r="C11" s="12">
        <v>0</v>
      </c>
      <c r="D11" s="12">
        <v>0</v>
      </c>
      <c r="E11" s="12">
        <v>0</v>
      </c>
      <c r="F11" s="12">
        <v>0</v>
      </c>
      <c r="G11" s="11">
        <v>0</v>
      </c>
      <c r="H11" s="11">
        <v>0</v>
      </c>
      <c r="I11" s="16">
        <v>1</v>
      </c>
      <c r="J11" s="11">
        <v>0</v>
      </c>
      <c r="K11" s="16">
        <v>1</v>
      </c>
      <c r="L11" s="16">
        <v>0</v>
      </c>
      <c r="M11" s="4"/>
      <c r="N11" s="6" t="s">
        <v>0</v>
      </c>
      <c r="O11" s="3">
        <f t="shared" si="1"/>
        <v>2</v>
      </c>
      <c r="P11" s="3"/>
      <c r="Q11" s="3"/>
      <c r="R11" s="14"/>
    </row>
    <row r="12" spans="2:20" x14ac:dyDescent="0.3">
      <c r="B12" s="10"/>
      <c r="C12" s="10"/>
      <c r="D12" s="10"/>
      <c r="E12" s="10"/>
      <c r="F12" s="10"/>
      <c r="G12" s="5"/>
      <c r="H12" s="5"/>
      <c r="I12" s="5"/>
      <c r="J12" s="5"/>
      <c r="K12" s="5"/>
      <c r="L12" s="5"/>
      <c r="M12" s="5"/>
      <c r="N12" s="4"/>
      <c r="O12" s="5"/>
      <c r="P12" s="5"/>
      <c r="Q12" s="5"/>
    </row>
    <row r="13" spans="2:20" x14ac:dyDescent="0.3">
      <c r="B13" s="1" t="s">
        <v>9</v>
      </c>
      <c r="C13" s="11">
        <v>348</v>
      </c>
      <c r="D13" s="11">
        <v>288</v>
      </c>
      <c r="E13" s="11">
        <v>287</v>
      </c>
      <c r="F13" s="11">
        <v>219</v>
      </c>
      <c r="G13" s="11">
        <v>228</v>
      </c>
      <c r="H13" s="11">
        <v>203</v>
      </c>
      <c r="I13" s="11">
        <v>204</v>
      </c>
      <c r="J13" s="11">
        <v>179</v>
      </c>
      <c r="K13" s="11">
        <v>203</v>
      </c>
      <c r="L13" s="11">
        <v>197</v>
      </c>
      <c r="M13" s="5"/>
      <c r="N13" s="6" t="s">
        <v>1</v>
      </c>
      <c r="O13" s="3">
        <f>SUM(H13:L13)</f>
        <v>986</v>
      </c>
      <c r="P13" s="5"/>
      <c r="Q13" s="5"/>
      <c r="R13" s="5"/>
    </row>
    <row r="14" spans="2:20" x14ac:dyDescent="0.3">
      <c r="B14" s="1" t="s">
        <v>8</v>
      </c>
      <c r="C14" s="11">
        <v>176163</v>
      </c>
      <c r="D14" s="11">
        <v>89734</v>
      </c>
      <c r="E14" s="11">
        <v>139708</v>
      </c>
      <c r="F14" s="11">
        <v>81843</v>
      </c>
      <c r="G14" s="11">
        <v>115335</v>
      </c>
      <c r="H14" s="11">
        <v>121993</v>
      </c>
      <c r="I14" s="11">
        <v>229850</v>
      </c>
      <c r="J14" s="11">
        <v>56572</v>
      </c>
      <c r="K14" s="11">
        <v>445377</v>
      </c>
      <c r="L14" s="11">
        <v>256031</v>
      </c>
      <c r="M14" s="5"/>
      <c r="N14" s="4"/>
      <c r="O14" s="3">
        <f>SUM(H14:L14)</f>
        <v>1109823</v>
      </c>
      <c r="P14" s="5"/>
      <c r="Q14" s="5"/>
    </row>
    <row r="15" spans="2:20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  <c r="N15" s="4"/>
      <c r="O15" s="5"/>
      <c r="P15" s="5"/>
      <c r="Q15" s="5"/>
    </row>
    <row r="16" spans="2:20" x14ac:dyDescent="0.3">
      <c r="B16" s="4"/>
      <c r="C16" s="17"/>
      <c r="D16" s="17"/>
      <c r="E16" s="17"/>
      <c r="F16" s="17"/>
      <c r="G16" s="17"/>
      <c r="H16" s="17"/>
      <c r="I16" s="17"/>
      <c r="J16" s="17"/>
      <c r="K16" s="17"/>
      <c r="L16" s="21"/>
      <c r="M16" s="5"/>
      <c r="N16" s="4"/>
      <c r="O16" s="5"/>
      <c r="P16" s="5"/>
      <c r="Q16" s="5"/>
    </row>
    <row r="17" spans="2:17" x14ac:dyDescent="0.3"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4"/>
      <c r="O17" s="5"/>
      <c r="P17" s="5"/>
      <c r="Q17" s="5"/>
    </row>
    <row r="18" spans="2:17" x14ac:dyDescent="0.3">
      <c r="B18" s="4"/>
      <c r="C18" s="22"/>
      <c r="D18" s="22"/>
      <c r="E18" s="22"/>
      <c r="F18" s="22"/>
      <c r="G18" s="2" t="s">
        <v>14</v>
      </c>
      <c r="H18" s="11">
        <v>21162</v>
      </c>
      <c r="I18" s="22"/>
      <c r="J18" s="22"/>
      <c r="K18" s="22"/>
      <c r="L18" s="22"/>
      <c r="M18" s="5"/>
      <c r="N18" s="4"/>
      <c r="O18" s="5"/>
      <c r="P18" s="5"/>
      <c r="Q18" s="5"/>
    </row>
    <row r="19" spans="2:17" x14ac:dyDescent="0.3">
      <c r="B19" s="4"/>
      <c r="C19" s="22"/>
      <c r="D19" s="22"/>
      <c r="E19" s="22"/>
      <c r="F19" s="22"/>
      <c r="G19" s="18"/>
      <c r="H19" s="19"/>
      <c r="I19" s="22"/>
      <c r="J19" s="22"/>
      <c r="K19" s="22"/>
      <c r="L19" s="22"/>
      <c r="M19" s="5"/>
      <c r="N19" s="4"/>
      <c r="O19" s="5"/>
      <c r="P19" s="5"/>
      <c r="Q19" s="5"/>
    </row>
    <row r="20" spans="2:17" x14ac:dyDescent="0.3">
      <c r="B20" s="4"/>
      <c r="C20" s="22"/>
      <c r="D20" s="22"/>
      <c r="E20" s="22"/>
      <c r="F20" s="22"/>
      <c r="G20" s="18"/>
      <c r="H20" s="18"/>
      <c r="I20" s="22"/>
      <c r="J20" s="22"/>
      <c r="K20" s="22"/>
      <c r="L20" s="22"/>
      <c r="M20" s="5"/>
      <c r="N20" s="4"/>
      <c r="O20" s="5"/>
      <c r="P20" s="5"/>
      <c r="Q20" s="5"/>
    </row>
    <row r="21" spans="2:17" x14ac:dyDescent="0.3">
      <c r="B21" s="4"/>
      <c r="C21" s="4"/>
      <c r="D21" s="4"/>
      <c r="E21" s="4"/>
      <c r="F21" s="4"/>
      <c r="G21" s="8"/>
      <c r="H21" s="8"/>
      <c r="I21" s="8"/>
      <c r="J21" s="8"/>
      <c r="K21" s="8"/>
      <c r="L21" s="8"/>
      <c r="M21" s="5"/>
      <c r="N21" s="4"/>
      <c r="O21" s="5"/>
      <c r="P21" s="5"/>
      <c r="Q21" s="5"/>
    </row>
    <row r="22" spans="2:17" x14ac:dyDescent="0.3">
      <c r="B22" s="4"/>
      <c r="C22" s="4"/>
      <c r="D22" s="4"/>
      <c r="E22" s="4"/>
      <c r="F22" s="4"/>
      <c r="G22" s="8"/>
      <c r="H22" s="8"/>
      <c r="I22" s="8"/>
      <c r="J22" s="8"/>
      <c r="K22" s="8"/>
      <c r="L22" s="8"/>
      <c r="M22" s="5"/>
      <c r="N22" s="4"/>
      <c r="O22" s="5"/>
      <c r="P22" s="5"/>
      <c r="Q22" s="5"/>
    </row>
    <row r="29" spans="2:17" x14ac:dyDescent="0.3">
      <c r="C29" s="20"/>
    </row>
  </sheetData>
  <phoneticPr fontId="1" type="noConversion"/>
  <pageMargins left="0.7" right="0.7" top="0.75" bottom="0.75" header="0.3" footer="0.3"/>
  <ignoredErrors>
    <ignoredError sqref="O5:O11 O13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2008-2017-학교화재-피해액별통계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2017-09-13T02:22:02Z</dcterms:created>
  <dcterms:modified xsi:type="dcterms:W3CDTF">2023-09-12T01:29:31Z</dcterms:modified>
</cp:coreProperties>
</file>